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atoli\Downloads\"/>
    </mc:Choice>
  </mc:AlternateContent>
  <xr:revisionPtr revIDLastSave="0" documentId="13_ncr:1_{AC401196-F73E-4118-A7B7-D0A57E9025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urch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<sst xmlns="http://schemas.openxmlformats.org/spreadsheetml/2006/main" count="281" uniqueCount="131">
  <si>
    <t xml:space="preserve"> OrderID </t>
  </si>
  <si>
    <t xml:space="preserve"> Supplier          </t>
  </si>
  <si>
    <t xml:space="preserve"> Last Visited</t>
  </si>
  <si>
    <t>ReturnStatus</t>
  </si>
  <si>
    <t xml:space="preserve"> Warranty (Months)</t>
  </si>
  <si>
    <t xml:space="preserve"> Purchase Date</t>
  </si>
  <si>
    <t xml:space="preserve"> Return Policy (Days)</t>
  </si>
  <si>
    <t xml:space="preserve"> Feedback</t>
  </si>
  <si>
    <t>Smith Tools Inc.</t>
  </si>
  <si>
    <t xml:space="preserve"> 10/10/2023   </t>
  </si>
  <si>
    <t>Not Returned</t>
  </si>
  <si>
    <t xml:space="preserve"> 09/20/2023   </t>
  </si>
  <si>
    <t xml:space="preserve"> Wont Recommend       </t>
  </si>
  <si>
    <t>BrightLife Co.</t>
  </si>
  <si>
    <t xml:space="preserve"> 10/12/2023   </t>
  </si>
  <si>
    <t>Returned</t>
  </si>
  <si>
    <t xml:space="preserve"> 09/22/2023   </t>
  </si>
  <si>
    <t xml:space="preserve"> Neutral              </t>
  </si>
  <si>
    <t>TimberCraft Suppliers</t>
  </si>
  <si>
    <t xml:space="preserve"> 10/11/2023   </t>
  </si>
  <si>
    <t xml:space="preserve"> 09/23/2023   </t>
  </si>
  <si>
    <t xml:space="preserve"> Will Recommend       </t>
  </si>
  <si>
    <t>BuildMaster Tools</t>
  </si>
  <si>
    <t xml:space="preserve"> 10/14/2023   </t>
  </si>
  <si>
    <t xml:space="preserve"> 09/25/2023   </t>
  </si>
  <si>
    <t>GreenThumb Essentials</t>
  </si>
  <si>
    <t xml:space="preserve"> 10/15/2023   </t>
  </si>
  <si>
    <t xml:space="preserve"> 09/26/2023   </t>
  </si>
  <si>
    <t>BuildRight Supplies</t>
  </si>
  <si>
    <t xml:space="preserve"> 10/16/2023   </t>
  </si>
  <si>
    <t xml:space="preserve"> 09/27/2023   </t>
  </si>
  <si>
    <t>ColorDreams Paints</t>
  </si>
  <si>
    <t xml:space="preserve"> 09/28/2023   </t>
  </si>
  <si>
    <t>AquaFlow Suppliers</t>
  </si>
  <si>
    <t xml:space="preserve"> 09/29/2023   </t>
  </si>
  <si>
    <t>ToolTech Incorporated</t>
  </si>
  <si>
    <t xml:space="preserve"> 09/30/2023   </t>
  </si>
  <si>
    <t>DecorDelight Co.</t>
  </si>
  <si>
    <t xml:space="preserve"> 10/17/2023   </t>
  </si>
  <si>
    <t xml:space="preserve"> 10/01/2023   </t>
  </si>
  <si>
    <t>ElegantEntry Inc.</t>
  </si>
  <si>
    <t>LightUp Creations</t>
  </si>
  <si>
    <t xml:space="preserve"> 10/19/2023   </t>
  </si>
  <si>
    <t xml:space="preserve"> 10/03/2023   </t>
  </si>
  <si>
    <t>EcoGarden Supplies</t>
  </si>
  <si>
    <t xml:space="preserve"> 10/18/2023   </t>
  </si>
  <si>
    <t xml:space="preserve"> 10/04/2023   </t>
  </si>
  <si>
    <t>ArtisticPottery Inc.</t>
  </si>
  <si>
    <t xml:space="preserve"> 10/05/2023   </t>
  </si>
  <si>
    <t>ComfortZone Furniture</t>
  </si>
  <si>
    <t xml:space="preserve"> 10/20/2023   </t>
  </si>
  <si>
    <t xml:space="preserve"> 10/06/2023   </t>
  </si>
  <si>
    <t>GardenTech Co.</t>
  </si>
  <si>
    <t xml:space="preserve"> 10/02/2023   </t>
  </si>
  <si>
    <t xml:space="preserve"> Neutral             </t>
  </si>
  <si>
    <t>AquaDesigns Ltd.</t>
  </si>
  <si>
    <t xml:space="preserve"> 10/22/2023   </t>
  </si>
  <si>
    <t xml:space="preserve"> 10/07/2023   </t>
  </si>
  <si>
    <t>Timeless Decor</t>
  </si>
  <si>
    <t xml:space="preserve"> 10/23/2023   </t>
  </si>
  <si>
    <t xml:space="preserve"> 10/08/2023   </t>
  </si>
  <si>
    <t>StoneCrafters Inc.</t>
  </si>
  <si>
    <t xml:space="preserve"> 10/24/2023   </t>
  </si>
  <si>
    <t xml:space="preserve"> 10/09/2023   </t>
  </si>
  <si>
    <t>StoneMarvel Inc.</t>
  </si>
  <si>
    <t>SunLight Creations</t>
  </si>
  <si>
    <t xml:space="preserve"> 10/25/2023   </t>
  </si>
  <si>
    <t>AquaLux Suppliers</t>
  </si>
  <si>
    <t>BuildElite Tools</t>
  </si>
  <si>
    <t xml:space="preserve"> 10/26/2023   </t>
  </si>
  <si>
    <t>PlantBoost Co.</t>
  </si>
  <si>
    <t xml:space="preserve"> 10/27/2023   </t>
  </si>
  <si>
    <t>Reflective Designs Inc.</t>
  </si>
  <si>
    <t xml:space="preserve"> 10/28/2023   </t>
  </si>
  <si>
    <t xml:space="preserve"> 10/13/2023   </t>
  </si>
  <si>
    <t>TechComfort Solutions</t>
  </si>
  <si>
    <t>NatureFurnish Co.</t>
  </si>
  <si>
    <t xml:space="preserve"> 10/29/2023   </t>
  </si>
  <si>
    <t>GrillMasters Ltd.</t>
  </si>
  <si>
    <t xml:space="preserve"> 10/30/2023   </t>
  </si>
  <si>
    <t>ToolPro Innovations</t>
  </si>
  <si>
    <t xml:space="preserve"> 10/31/2023   </t>
  </si>
  <si>
    <t>CozyNest Textiles</t>
  </si>
  <si>
    <t xml:space="preserve"> 08/15/2023   </t>
  </si>
  <si>
    <t>GreenCraft Supplies</t>
  </si>
  <si>
    <t xml:space="preserve"> 08/17/2023   </t>
  </si>
  <si>
    <t>HeightRight Equipment</t>
  </si>
  <si>
    <t xml:space="preserve"> 08/18/2023   </t>
  </si>
  <si>
    <t>EarthyPottery Inc.</t>
  </si>
  <si>
    <t xml:space="preserve"> 08/20/2023   </t>
  </si>
  <si>
    <t>Luminaire Designs</t>
  </si>
  <si>
    <t xml:space="preserve"> 08/21/2023   </t>
  </si>
  <si>
    <t>FlameFront Co.</t>
  </si>
  <si>
    <t xml:space="preserve"> 08/22/2023   </t>
  </si>
  <si>
    <t>TimberLine Furniture</t>
  </si>
  <si>
    <t xml:space="preserve"> 08/23/2023   </t>
  </si>
  <si>
    <t>SafeGuard Tech</t>
  </si>
  <si>
    <t xml:space="preserve"> 08/24/2023   </t>
  </si>
  <si>
    <t>WindowWonders Ltd.</t>
  </si>
  <si>
    <t xml:space="preserve"> 08/25/2023   </t>
  </si>
  <si>
    <t>PlushThreads Textiles</t>
  </si>
  <si>
    <t xml:space="preserve"> 08/26/2023   </t>
  </si>
  <si>
    <t>Botanica Ltd.</t>
  </si>
  <si>
    <t>Illumina Designs</t>
  </si>
  <si>
    <t xml:space="preserve"> 08/28/2023   </t>
  </si>
  <si>
    <t>CulinaryCraft Co.</t>
  </si>
  <si>
    <t xml:space="preserve"> 08/29/2023   </t>
  </si>
  <si>
    <t>WeaveWorks Ltd.</t>
  </si>
  <si>
    <t xml:space="preserve"> 08/30/2023   </t>
  </si>
  <si>
    <t>GardenGizmos Inc.</t>
  </si>
  <si>
    <t xml:space="preserve"> 08/31/2023   </t>
  </si>
  <si>
    <t>StoneScape Creations</t>
  </si>
  <si>
    <t xml:space="preserve"> 08/27/2023   </t>
  </si>
  <si>
    <t>CleanTech Innovations</t>
  </si>
  <si>
    <t xml:space="preserve"> 09/01/2023   </t>
  </si>
  <si>
    <t>FurnishFinely Co.</t>
  </si>
  <si>
    <t xml:space="preserve"> 09/02/2023   </t>
  </si>
  <si>
    <t>AquaHeat Solutions</t>
  </si>
  <si>
    <t>DiningDeluxe Ltd.</t>
  </si>
  <si>
    <t xml:space="preserve"> 09/03/2023   </t>
  </si>
  <si>
    <t>FabricFocus Textiles</t>
  </si>
  <si>
    <t>EarthyGrow Co.</t>
  </si>
  <si>
    <t xml:space="preserve"> 09/04/2023   </t>
  </si>
  <si>
    <t>ComfortCraft Furniture</t>
  </si>
  <si>
    <t xml:space="preserve"> 09/05/2023   </t>
  </si>
  <si>
    <t>TerraTile Suppliers</t>
  </si>
  <si>
    <t xml:space="preserve"> 10/21/2023   </t>
  </si>
  <si>
    <t xml:space="preserve"> 09/06/2023   </t>
  </si>
  <si>
    <t>PurchaseID</t>
  </si>
  <si>
    <t>Last Visited Fixed</t>
  </si>
  <si>
    <t>Purchase Date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</si>
</sst>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selection activeCell="O11" sqref="O11"/>
    </sheetView>
  </sheetViews>
  <sheetFormatPr defaultRowHeight="15" x14ac:dyDescent="0.25"/>
  <cols>
    <col min="1" max="1" width="10.140625" customWidth="1"/>
    <col min="2" max="2" width="16" customWidth="1"/>
    <col min="3" max="3" width="12.42578125" bestFit="1" customWidth="1"/>
    <col min="4" max="4" width="16.5703125" bestFit="1" customWidth="1"/>
    <col min="7" max="7" width="14.140625" bestFit="1" customWidth="1"/>
    <col min="8" max="8" width="19.140625" bestFit="1" customWidth="1"/>
  </cols>
  <sheetData>
    <row r="1" spans="1:11" x14ac:dyDescent="0.25">
      <c r="A1" t="s">
        <v>128</v>
      </c>
      <c r="B1" t="s">
        <v>1</v>
      </c>
      <c r="C1" t="s">
        <v>2</v>
      </c>
      <c r="D1" t="s">
        <v>129</v>
      </c>
      <c r="E1" t="s">
        <v>3</v>
      </c>
      <c r="F1" t="s">
        <v>4</v>
      </c>
      <c r="G1" t="s">
        <v>5</v>
      </c>
      <c r="H1" t="s">
        <v>130</v>
      </c>
      <c r="I1" t="s">
        <v>6</v>
      </c>
      <c r="J1" t="s">
        <v>7</v>
      </c>
      <c r="K1" t="s">
        <v>0</v>
      </c>
    </row>
    <row r="2" spans="1:11" x14ac:dyDescent="0.25">
      <c r="A2">
        <v>1</v>
      </c>
      <c r="B2" t="s">
        <v>8</v>
      </c>
      <c r="C2" t="s">
        <v>9</v>
      </c>
      <c r="D2" s="1">
        <f>DATE(RIGHT(TRIM(C2),4), MID(TRIM(C2),4,2), LEFT(TRIM(C2),2))</f>
        <v>45209</v>
      </c>
      <c r="E2" t="s">
        <v>10</v>
      </c>
      <c r="F2">
        <v>6</v>
      </c>
      <c r="G2" t="s">
        <v>11</v>
      </c>
      <c r="H2" s="1">
        <f>DATE(RIGHT(TRIM(G2),4), MID(TRIM(G2),4,2), LEFT(TRIM(G2),2))</f>
        <v>45513</v>
      </c>
      <c r="I2">
        <v>30</v>
      </c>
      <c r="J2" t="s">
        <v>12</v>
      </c>
      <c r="K2">
        <v>1024</v>
      </c>
    </row>
    <row r="3" spans="1:11" x14ac:dyDescent="0.25">
      <c r="A3">
        <v>2</v>
      </c>
      <c r="B3" t="s">
        <v>13</v>
      </c>
      <c r="C3" t="s">
        <v>14</v>
      </c>
      <c r="D3" s="1">
        <f>DATE(RIGHT(TRIM(C3),4), MID(TRIM(C3),4,2), LEFT(TRIM(C3),2))</f>
        <v>45270</v>
      </c>
      <c r="E3" t="s">
        <v>15</v>
      </c>
      <c r="F3">
        <v>12</v>
      </c>
      <c r="G3" t="s">
        <v>16</v>
      </c>
      <c r="H3" s="1">
        <f t="shared" ref="H3:H55" si="0">DATE(RIGHT(TRIM(G3),4), MID(TRIM(G3),4,2), LEFT(TRIM(G3),2))</f>
        <v>45574</v>
      </c>
      <c r="I3">
        <v>45</v>
      </c>
      <c r="J3" t="s">
        <v>17</v>
      </c>
      <c r="K3">
        <v>1025</v>
      </c>
    </row>
    <row r="4" spans="1:11" x14ac:dyDescent="0.25">
      <c r="A4">
        <f>A3+1</f>
        <v>3</v>
      </c>
      <c r="B4" t="s">
        <v>18</v>
      </c>
      <c r="C4" t="s">
        <v>19</v>
      </c>
      <c r="D4" s="1">
        <f>DATE(RIGHT(TRIM(C4),4), MID(TRIM(C4),4,2), LEFT(TRIM(C4),2))</f>
        <v>45240</v>
      </c>
      <c r="E4" t="s">
        <v>10</v>
      </c>
      <c r="F4">
        <v>24</v>
      </c>
      <c r="G4" t="s">
        <v>20</v>
      </c>
      <c r="H4" s="1">
        <f t="shared" si="0"/>
        <v>45605</v>
      </c>
      <c r="I4">
        <v>60</v>
      </c>
      <c r="J4" t="s">
        <v>21</v>
      </c>
      <c r="K4">
        <v>1026</v>
      </c>
    </row>
    <row r="5" spans="1:11" x14ac:dyDescent="0.25">
      <c r="A5">
        <f t="shared" ref="A5:A55" si="1">A4+1</f>
        <v>4</v>
      </c>
      <c r="B5" t="s">
        <v>22</v>
      </c>
      <c r="C5" t="s">
        <v>23</v>
      </c>
      <c r="D5" s="1">
        <f>DATE(RIGHT(TRIM(C5),4), MID(TRIM(C5),4,2), LEFT(TRIM(C5),2))</f>
        <v>45332</v>
      </c>
      <c r="E5" t="s">
        <v>15</v>
      </c>
      <c r="F5">
        <v>36</v>
      </c>
      <c r="G5" t="s">
        <v>24</v>
      </c>
      <c r="H5" s="1">
        <f t="shared" si="0"/>
        <v>45666</v>
      </c>
      <c r="I5">
        <v>30</v>
      </c>
      <c r="J5" t="s">
        <v>17</v>
      </c>
      <c r="K5">
        <v>1027</v>
      </c>
    </row>
    <row r="6" spans="1:11" x14ac:dyDescent="0.25">
      <c r="A6">
        <f t="shared" si="1"/>
        <v>5</v>
      </c>
      <c r="B6" t="s">
        <v>25</v>
      </c>
      <c r="C6" t="s">
        <v>26</v>
      </c>
      <c r="D6" s="1">
        <f>DATE(RIGHT(TRIM(C6),4), MID(TRIM(C6),4,2), LEFT(TRIM(C6),2))</f>
        <v>45361</v>
      </c>
      <c r="E6" t="s">
        <v>10</v>
      </c>
      <c r="F6">
        <v>18</v>
      </c>
      <c r="G6" t="s">
        <v>27</v>
      </c>
      <c r="H6" s="1">
        <f t="shared" si="0"/>
        <v>45697</v>
      </c>
      <c r="I6">
        <v>15</v>
      </c>
      <c r="J6" t="s">
        <v>21</v>
      </c>
      <c r="K6">
        <v>1028</v>
      </c>
    </row>
    <row r="7" spans="1:11" x14ac:dyDescent="0.25">
      <c r="A7">
        <f t="shared" si="1"/>
        <v>6</v>
      </c>
      <c r="B7" t="s">
        <v>28</v>
      </c>
      <c r="C7" t="s">
        <v>29</v>
      </c>
      <c r="D7" s="1">
        <f>DATE(RIGHT(TRIM(C7),4), MID(TRIM(C7),4,2), LEFT(TRIM(C7),2))</f>
        <v>45392</v>
      </c>
      <c r="E7" t="s">
        <v>10</v>
      </c>
      <c r="F7">
        <v>12</v>
      </c>
      <c r="G7" t="s">
        <v>30</v>
      </c>
      <c r="H7" s="1">
        <f t="shared" si="0"/>
        <v>45725</v>
      </c>
      <c r="I7">
        <v>20</v>
      </c>
      <c r="J7" t="s">
        <v>12</v>
      </c>
      <c r="K7">
        <v>1029</v>
      </c>
    </row>
    <row r="8" spans="1:11" x14ac:dyDescent="0.25">
      <c r="A8">
        <f t="shared" si="1"/>
        <v>7</v>
      </c>
      <c r="B8" t="s">
        <v>31</v>
      </c>
      <c r="C8" t="s">
        <v>23</v>
      </c>
      <c r="D8" s="1">
        <f>DATE(RIGHT(TRIM(C8),4), MID(TRIM(C8),4,2), LEFT(TRIM(C8),2))</f>
        <v>45332</v>
      </c>
      <c r="E8" t="s">
        <v>10</v>
      </c>
      <c r="F8">
        <v>6</v>
      </c>
      <c r="G8" t="s">
        <v>32</v>
      </c>
      <c r="H8" s="1">
        <f t="shared" si="0"/>
        <v>45756</v>
      </c>
      <c r="I8">
        <v>25</v>
      </c>
      <c r="J8" t="s">
        <v>17</v>
      </c>
      <c r="K8">
        <v>1030</v>
      </c>
    </row>
    <row r="9" spans="1:11" x14ac:dyDescent="0.25">
      <c r="A9">
        <f t="shared" si="1"/>
        <v>8</v>
      </c>
      <c r="B9" t="s">
        <v>33</v>
      </c>
      <c r="C9" t="s">
        <v>26</v>
      </c>
      <c r="D9" s="1">
        <f>DATE(RIGHT(TRIM(C9),4), MID(TRIM(C9),4,2), LEFT(TRIM(C9),2))</f>
        <v>45361</v>
      </c>
      <c r="E9" t="s">
        <v>15</v>
      </c>
      <c r="F9">
        <v>24</v>
      </c>
      <c r="G9" t="s">
        <v>34</v>
      </c>
      <c r="H9" s="1">
        <f t="shared" si="0"/>
        <v>45786</v>
      </c>
      <c r="I9">
        <v>30</v>
      </c>
      <c r="J9" t="s">
        <v>12</v>
      </c>
      <c r="K9">
        <v>1031</v>
      </c>
    </row>
    <row r="10" spans="1:11" x14ac:dyDescent="0.25">
      <c r="A10">
        <f t="shared" si="1"/>
        <v>9</v>
      </c>
      <c r="B10" t="s">
        <v>35</v>
      </c>
      <c r="C10" t="s">
        <v>29</v>
      </c>
      <c r="D10" s="1">
        <f>DATE(RIGHT(TRIM(C10),4), MID(TRIM(C10),4,2), LEFT(TRIM(C10),2))</f>
        <v>45392</v>
      </c>
      <c r="E10" t="s">
        <v>10</v>
      </c>
      <c r="F10">
        <v>6</v>
      </c>
      <c r="G10" t="s">
        <v>36</v>
      </c>
      <c r="H10" s="1">
        <f t="shared" si="0"/>
        <v>45817</v>
      </c>
      <c r="I10">
        <v>20</v>
      </c>
      <c r="J10" t="s">
        <v>21</v>
      </c>
      <c r="K10">
        <v>1032</v>
      </c>
    </row>
    <row r="11" spans="1:11" x14ac:dyDescent="0.25">
      <c r="A11">
        <f t="shared" si="1"/>
        <v>10</v>
      </c>
      <c r="B11" t="s">
        <v>37</v>
      </c>
      <c r="C11" t="s">
        <v>38</v>
      </c>
      <c r="D11" s="1">
        <f>DATE(RIGHT(TRIM(C11),4), MID(TRIM(C11),4,2), LEFT(TRIM(C11),2))</f>
        <v>45422</v>
      </c>
      <c r="E11" t="s">
        <v>10</v>
      </c>
      <c r="F11">
        <v>12</v>
      </c>
      <c r="G11" t="s">
        <v>39</v>
      </c>
      <c r="H11" s="1">
        <f t="shared" si="0"/>
        <v>44936</v>
      </c>
      <c r="I11">
        <v>40</v>
      </c>
      <c r="J11" t="s">
        <v>17</v>
      </c>
      <c r="K11">
        <v>1033</v>
      </c>
    </row>
    <row r="12" spans="1:11" x14ac:dyDescent="0.25">
      <c r="A12">
        <f t="shared" si="1"/>
        <v>11</v>
      </c>
      <c r="B12" t="s">
        <v>40</v>
      </c>
      <c r="C12" t="s">
        <v>19</v>
      </c>
      <c r="D12" s="1">
        <f>DATE(RIGHT(TRIM(C12),4), MID(TRIM(C12),4,2), LEFT(TRIM(C12),2))</f>
        <v>45240</v>
      </c>
      <c r="E12" t="s">
        <v>10</v>
      </c>
      <c r="F12">
        <v>12</v>
      </c>
      <c r="G12" t="s">
        <v>20</v>
      </c>
      <c r="H12" s="1">
        <f t="shared" si="0"/>
        <v>45605</v>
      </c>
      <c r="I12">
        <v>15</v>
      </c>
      <c r="J12" t="s">
        <v>12</v>
      </c>
      <c r="K12">
        <v>1034</v>
      </c>
    </row>
    <row r="13" spans="1:11" x14ac:dyDescent="0.25">
      <c r="A13">
        <f t="shared" si="1"/>
        <v>12</v>
      </c>
      <c r="B13" t="s">
        <v>41</v>
      </c>
      <c r="C13" t="s">
        <v>42</v>
      </c>
      <c r="D13" s="1">
        <f>DATE(RIGHT(TRIM(C13),4), MID(TRIM(C13),4,2), LEFT(TRIM(C13),2))</f>
        <v>45483</v>
      </c>
      <c r="E13" t="s">
        <v>15</v>
      </c>
      <c r="F13">
        <v>24</v>
      </c>
      <c r="G13" t="s">
        <v>43</v>
      </c>
      <c r="H13" s="1">
        <f t="shared" si="0"/>
        <v>44995</v>
      </c>
      <c r="I13">
        <v>25</v>
      </c>
      <c r="J13" t="s">
        <v>21</v>
      </c>
      <c r="K13">
        <v>1035</v>
      </c>
    </row>
    <row r="14" spans="1:11" x14ac:dyDescent="0.25">
      <c r="A14">
        <f t="shared" si="1"/>
        <v>13</v>
      </c>
      <c r="B14" t="s">
        <v>44</v>
      </c>
      <c r="C14" t="s">
        <v>45</v>
      </c>
      <c r="D14" s="1">
        <f>DATE(RIGHT(TRIM(C14),4), MID(TRIM(C14),4,2), LEFT(TRIM(C14),2))</f>
        <v>45453</v>
      </c>
      <c r="E14" t="s">
        <v>10</v>
      </c>
      <c r="F14">
        <v>36</v>
      </c>
      <c r="G14" t="s">
        <v>46</v>
      </c>
      <c r="H14" s="1">
        <f t="shared" si="0"/>
        <v>45026</v>
      </c>
      <c r="I14">
        <v>40</v>
      </c>
      <c r="J14" t="s">
        <v>17</v>
      </c>
      <c r="K14">
        <v>1036</v>
      </c>
    </row>
    <row r="15" spans="1:11" x14ac:dyDescent="0.25">
      <c r="A15">
        <f t="shared" si="1"/>
        <v>14</v>
      </c>
      <c r="B15" t="s">
        <v>47</v>
      </c>
      <c r="C15" t="s">
        <v>38</v>
      </c>
      <c r="D15" s="1">
        <f>DATE(RIGHT(TRIM(C15),4), MID(TRIM(C15),4,2), LEFT(TRIM(C15),2))</f>
        <v>45422</v>
      </c>
      <c r="E15" t="s">
        <v>10</v>
      </c>
      <c r="F15">
        <v>18</v>
      </c>
      <c r="G15" t="s">
        <v>48</v>
      </c>
      <c r="H15" s="1">
        <f t="shared" si="0"/>
        <v>45056</v>
      </c>
      <c r="I15">
        <v>20</v>
      </c>
      <c r="J15" t="s">
        <v>12</v>
      </c>
      <c r="K15">
        <v>1037</v>
      </c>
    </row>
    <row r="16" spans="1:11" x14ac:dyDescent="0.25">
      <c r="A16">
        <f t="shared" si="1"/>
        <v>15</v>
      </c>
      <c r="B16" t="s">
        <v>49</v>
      </c>
      <c r="C16" t="s">
        <v>50</v>
      </c>
      <c r="D16" s="1">
        <f>DATE(RIGHT(TRIM(C16),4), MID(TRIM(C16),4,2), LEFT(TRIM(C16),2))</f>
        <v>45514</v>
      </c>
      <c r="E16" t="s">
        <v>10</v>
      </c>
      <c r="F16">
        <v>48</v>
      </c>
      <c r="G16" t="s">
        <v>51</v>
      </c>
      <c r="H16" s="1">
        <f t="shared" si="0"/>
        <v>45087</v>
      </c>
      <c r="I16">
        <v>60</v>
      </c>
      <c r="J16" t="s">
        <v>21</v>
      </c>
      <c r="K16">
        <v>1038</v>
      </c>
    </row>
    <row r="17" spans="1:11" x14ac:dyDescent="0.25">
      <c r="A17">
        <f t="shared" si="1"/>
        <v>16</v>
      </c>
      <c r="B17" t="s">
        <v>52</v>
      </c>
      <c r="C17" t="s">
        <v>45</v>
      </c>
      <c r="D17" s="1">
        <f>DATE(RIGHT(TRIM(C17),4), MID(TRIM(C17),4,2), LEFT(TRIM(C17),2))</f>
        <v>45453</v>
      </c>
      <c r="E17" t="s">
        <v>15</v>
      </c>
      <c r="F17">
        <v>12</v>
      </c>
      <c r="G17" t="s">
        <v>53</v>
      </c>
      <c r="H17" s="1">
        <f t="shared" si="0"/>
        <v>44967</v>
      </c>
      <c r="I17">
        <v>10</v>
      </c>
      <c r="J17" t="s">
        <v>54</v>
      </c>
      <c r="K17">
        <v>1039</v>
      </c>
    </row>
    <row r="18" spans="1:11" x14ac:dyDescent="0.25">
      <c r="A18">
        <f t="shared" si="1"/>
        <v>17</v>
      </c>
      <c r="B18" t="s">
        <v>55</v>
      </c>
      <c r="C18" t="s">
        <v>56</v>
      </c>
      <c r="D18" s="1">
        <f>DATE(RIGHT(TRIM(C18),4), MID(TRIM(C18),4,2), LEFT(TRIM(C18),2))</f>
        <v>45575</v>
      </c>
      <c r="E18" t="s">
        <v>10</v>
      </c>
      <c r="F18">
        <v>24</v>
      </c>
      <c r="G18" t="s">
        <v>57</v>
      </c>
      <c r="H18" s="1">
        <f t="shared" si="0"/>
        <v>45117</v>
      </c>
      <c r="I18">
        <v>30</v>
      </c>
      <c r="J18" t="s">
        <v>12</v>
      </c>
      <c r="K18">
        <v>1040</v>
      </c>
    </row>
    <row r="19" spans="1:11" x14ac:dyDescent="0.25">
      <c r="A19">
        <f t="shared" si="1"/>
        <v>18</v>
      </c>
      <c r="B19" t="s">
        <v>58</v>
      </c>
      <c r="C19" t="s">
        <v>59</v>
      </c>
      <c r="D19" s="1">
        <f>DATE(RIGHT(TRIM(C19),4), MID(TRIM(C19),4,2), LEFT(TRIM(C19),2))</f>
        <v>45606</v>
      </c>
      <c r="E19" t="s">
        <v>10</v>
      </c>
      <c r="F19">
        <v>36</v>
      </c>
      <c r="G19" t="s">
        <v>60</v>
      </c>
      <c r="H19" s="1">
        <f t="shared" si="0"/>
        <v>45148</v>
      </c>
      <c r="I19">
        <v>15</v>
      </c>
      <c r="J19" t="s">
        <v>17</v>
      </c>
      <c r="K19">
        <v>1041</v>
      </c>
    </row>
    <row r="20" spans="1:11" x14ac:dyDescent="0.25">
      <c r="A20">
        <f t="shared" si="1"/>
        <v>19</v>
      </c>
      <c r="B20" t="s">
        <v>61</v>
      </c>
      <c r="C20" t="s">
        <v>29</v>
      </c>
      <c r="D20" s="1">
        <f>DATE(RIGHT(TRIM(C20),4), MID(TRIM(C20),4,2), LEFT(TRIM(C20),2))</f>
        <v>45392</v>
      </c>
      <c r="E20" t="s">
        <v>10</v>
      </c>
      <c r="F20">
        <v>12</v>
      </c>
      <c r="G20" t="s">
        <v>30</v>
      </c>
      <c r="H20" s="1">
        <f t="shared" si="0"/>
        <v>45725</v>
      </c>
      <c r="I20">
        <v>25</v>
      </c>
      <c r="J20" t="s">
        <v>21</v>
      </c>
      <c r="K20">
        <v>1042</v>
      </c>
    </row>
    <row r="21" spans="1:11" x14ac:dyDescent="0.25">
      <c r="A21">
        <f t="shared" si="1"/>
        <v>20</v>
      </c>
      <c r="B21" t="s">
        <v>18</v>
      </c>
      <c r="C21" t="s">
        <v>62</v>
      </c>
      <c r="D21" s="1">
        <f>DATE(RIGHT(TRIM(C21),4), MID(TRIM(C21),4,2), LEFT(TRIM(C21),2))</f>
        <v>45636</v>
      </c>
      <c r="E21" t="s">
        <v>15</v>
      </c>
      <c r="F21">
        <v>12</v>
      </c>
      <c r="G21" t="s">
        <v>63</v>
      </c>
      <c r="H21" s="1">
        <f t="shared" si="0"/>
        <v>45179</v>
      </c>
      <c r="I21">
        <v>30</v>
      </c>
      <c r="J21" t="s">
        <v>17</v>
      </c>
      <c r="K21">
        <v>1043</v>
      </c>
    </row>
    <row r="22" spans="1:11" x14ac:dyDescent="0.25">
      <c r="A22">
        <f t="shared" si="1"/>
        <v>21</v>
      </c>
      <c r="B22" t="s">
        <v>64</v>
      </c>
      <c r="C22" t="s">
        <v>45</v>
      </c>
      <c r="D22" s="1">
        <f>DATE(RIGHT(TRIM(C22),4), MID(TRIM(C22),4,2), LEFT(TRIM(C22),2))</f>
        <v>45453</v>
      </c>
      <c r="E22" t="s">
        <v>10</v>
      </c>
      <c r="F22">
        <v>12</v>
      </c>
      <c r="G22" t="s">
        <v>46</v>
      </c>
      <c r="H22" s="1">
        <f t="shared" si="0"/>
        <v>45026</v>
      </c>
      <c r="I22">
        <v>10</v>
      </c>
      <c r="J22" t="s">
        <v>21</v>
      </c>
      <c r="K22">
        <v>1044</v>
      </c>
    </row>
    <row r="23" spans="1:11" x14ac:dyDescent="0.25">
      <c r="A23">
        <f t="shared" si="1"/>
        <v>22</v>
      </c>
      <c r="B23" t="s">
        <v>65</v>
      </c>
      <c r="C23" t="s">
        <v>66</v>
      </c>
      <c r="D23" s="1">
        <f>DATE(RIGHT(TRIM(C23),4), MID(TRIM(C23),4,2), LEFT(TRIM(C23),2))</f>
        <v>45667</v>
      </c>
      <c r="E23" t="s">
        <v>15</v>
      </c>
      <c r="F23">
        <v>6</v>
      </c>
      <c r="G23" t="s">
        <v>9</v>
      </c>
      <c r="H23" s="1">
        <f t="shared" si="0"/>
        <v>45209</v>
      </c>
      <c r="I23">
        <v>15</v>
      </c>
      <c r="J23" t="s">
        <v>12</v>
      </c>
      <c r="K23">
        <v>1045</v>
      </c>
    </row>
    <row r="24" spans="1:11" x14ac:dyDescent="0.25">
      <c r="A24">
        <f t="shared" si="1"/>
        <v>23</v>
      </c>
      <c r="B24" t="s">
        <v>67</v>
      </c>
      <c r="C24" t="s">
        <v>42</v>
      </c>
      <c r="D24" s="1">
        <f>DATE(RIGHT(TRIM(C24),4), MID(TRIM(C24),4,2), LEFT(TRIM(C24),2))</f>
        <v>45483</v>
      </c>
      <c r="E24" t="s">
        <v>10</v>
      </c>
      <c r="F24">
        <v>24</v>
      </c>
      <c r="G24" t="s">
        <v>48</v>
      </c>
      <c r="H24" s="1">
        <f t="shared" si="0"/>
        <v>45056</v>
      </c>
      <c r="I24">
        <v>40</v>
      </c>
      <c r="J24" t="s">
        <v>17</v>
      </c>
      <c r="K24">
        <v>1046</v>
      </c>
    </row>
    <row r="25" spans="1:11" x14ac:dyDescent="0.25">
      <c r="A25">
        <f t="shared" si="1"/>
        <v>24</v>
      </c>
      <c r="B25" t="s">
        <v>68</v>
      </c>
      <c r="C25" t="s">
        <v>69</v>
      </c>
      <c r="D25" s="1">
        <f>DATE(RIGHT(TRIM(C25),4), MID(TRIM(C25),4,2), LEFT(TRIM(C25),2))</f>
        <v>45698</v>
      </c>
      <c r="E25" t="s">
        <v>10</v>
      </c>
      <c r="F25">
        <v>12</v>
      </c>
      <c r="G25" t="s">
        <v>19</v>
      </c>
      <c r="H25" s="1">
        <f t="shared" si="0"/>
        <v>45240</v>
      </c>
      <c r="I25">
        <v>20</v>
      </c>
      <c r="J25" t="s">
        <v>12</v>
      </c>
      <c r="K25">
        <v>1047</v>
      </c>
    </row>
    <row r="26" spans="1:11" x14ac:dyDescent="0.25">
      <c r="A26">
        <f t="shared" si="1"/>
        <v>25</v>
      </c>
      <c r="B26" t="s">
        <v>70</v>
      </c>
      <c r="C26" t="s">
        <v>71</v>
      </c>
      <c r="D26" s="1">
        <f>DATE(RIGHT(TRIM(C26),4), MID(TRIM(C26),4,2), LEFT(TRIM(C26),2))</f>
        <v>45726</v>
      </c>
      <c r="E26" t="s">
        <v>10</v>
      </c>
      <c r="F26">
        <v>24</v>
      </c>
      <c r="G26" t="s">
        <v>14</v>
      </c>
      <c r="H26" s="1">
        <f t="shared" si="0"/>
        <v>45270</v>
      </c>
      <c r="I26">
        <v>10</v>
      </c>
      <c r="J26" t="s">
        <v>21</v>
      </c>
      <c r="K26">
        <v>1048</v>
      </c>
    </row>
    <row r="27" spans="1:11" x14ac:dyDescent="0.25">
      <c r="A27">
        <f t="shared" si="1"/>
        <v>26</v>
      </c>
      <c r="B27" t="s">
        <v>72</v>
      </c>
      <c r="C27" t="s">
        <v>73</v>
      </c>
      <c r="D27" s="1">
        <f>DATE(RIGHT(TRIM(C27),4), MID(TRIM(C27),4,2), LEFT(TRIM(C27),2))</f>
        <v>45757</v>
      </c>
      <c r="E27" t="s">
        <v>15</v>
      </c>
      <c r="F27">
        <v>12</v>
      </c>
      <c r="G27" t="s">
        <v>74</v>
      </c>
      <c r="H27" s="1">
        <f t="shared" si="0"/>
        <v>45301</v>
      </c>
      <c r="I27">
        <v>25</v>
      </c>
      <c r="J27" t="s">
        <v>17</v>
      </c>
      <c r="K27">
        <v>1049</v>
      </c>
    </row>
    <row r="28" spans="1:11" x14ac:dyDescent="0.25">
      <c r="A28">
        <f t="shared" si="1"/>
        <v>27</v>
      </c>
      <c r="B28" t="s">
        <v>75</v>
      </c>
      <c r="C28" t="s">
        <v>50</v>
      </c>
      <c r="D28" s="1">
        <f>DATE(RIGHT(TRIM(C28),4), MID(TRIM(C28),4,2), LEFT(TRIM(C28),2))</f>
        <v>45514</v>
      </c>
      <c r="E28" t="s">
        <v>10</v>
      </c>
      <c r="F28">
        <v>36</v>
      </c>
      <c r="G28" t="s">
        <v>51</v>
      </c>
      <c r="H28" s="1">
        <f t="shared" si="0"/>
        <v>45087</v>
      </c>
      <c r="I28">
        <v>30</v>
      </c>
      <c r="J28" t="s">
        <v>12</v>
      </c>
      <c r="K28">
        <v>1050</v>
      </c>
    </row>
    <row r="29" spans="1:11" x14ac:dyDescent="0.25">
      <c r="A29">
        <f t="shared" si="1"/>
        <v>28</v>
      </c>
      <c r="B29" t="s">
        <v>76</v>
      </c>
      <c r="C29" t="s">
        <v>77</v>
      </c>
      <c r="D29" s="1">
        <f>DATE(RIGHT(TRIM(C29),4), MID(TRIM(C29),4,2), LEFT(TRIM(C29),2))</f>
        <v>45787</v>
      </c>
      <c r="E29" t="s">
        <v>10</v>
      </c>
      <c r="F29">
        <v>18</v>
      </c>
      <c r="G29" t="s">
        <v>23</v>
      </c>
      <c r="H29" s="1">
        <f t="shared" si="0"/>
        <v>45332</v>
      </c>
      <c r="I29">
        <v>15</v>
      </c>
      <c r="J29" t="s">
        <v>21</v>
      </c>
      <c r="K29">
        <v>1052</v>
      </c>
    </row>
    <row r="30" spans="1:11" x14ac:dyDescent="0.25">
      <c r="A30">
        <f t="shared" si="1"/>
        <v>29</v>
      </c>
      <c r="B30" t="s">
        <v>78</v>
      </c>
      <c r="C30" t="s">
        <v>79</v>
      </c>
      <c r="D30" s="1">
        <f>DATE(RIGHT(TRIM(C30),4), MID(TRIM(C30),4,2), LEFT(TRIM(C30),2))</f>
        <v>45818</v>
      </c>
      <c r="E30" t="s">
        <v>10</v>
      </c>
      <c r="F30">
        <v>12</v>
      </c>
      <c r="G30" t="s">
        <v>26</v>
      </c>
      <c r="H30" s="1">
        <f t="shared" si="0"/>
        <v>45361</v>
      </c>
      <c r="I30">
        <v>30</v>
      </c>
      <c r="J30" t="s">
        <v>17</v>
      </c>
      <c r="K30">
        <v>1053</v>
      </c>
    </row>
    <row r="31" spans="1:11" x14ac:dyDescent="0.25">
      <c r="A31">
        <f t="shared" si="1"/>
        <v>30</v>
      </c>
      <c r="B31" t="s">
        <v>80</v>
      </c>
      <c r="C31" t="s">
        <v>81</v>
      </c>
      <c r="D31" s="1">
        <f>DATE(RIGHT(TRIM(C31),4), MID(TRIM(C31),4,2), LEFT(TRIM(C31),2))</f>
        <v>45848</v>
      </c>
      <c r="E31" t="s">
        <v>15</v>
      </c>
      <c r="F31">
        <v>12</v>
      </c>
      <c r="G31" t="s">
        <v>29</v>
      </c>
      <c r="H31" s="1">
        <f t="shared" si="0"/>
        <v>45392</v>
      </c>
      <c r="I31">
        <v>20</v>
      </c>
      <c r="J31" t="s">
        <v>12</v>
      </c>
      <c r="K31">
        <v>1054</v>
      </c>
    </row>
    <row r="32" spans="1:11" x14ac:dyDescent="0.25">
      <c r="A32">
        <f t="shared" si="1"/>
        <v>31</v>
      </c>
      <c r="B32" t="s">
        <v>82</v>
      </c>
      <c r="C32" t="s">
        <v>48</v>
      </c>
      <c r="D32" s="1">
        <f>DATE(RIGHT(TRIM(C32),4), MID(TRIM(C32),4,2), LEFT(TRIM(C32),2))</f>
        <v>45056</v>
      </c>
      <c r="E32" t="s">
        <v>10</v>
      </c>
      <c r="F32">
        <v>6</v>
      </c>
      <c r="G32" t="s">
        <v>83</v>
      </c>
      <c r="H32" s="1">
        <f t="shared" si="0"/>
        <v>45359</v>
      </c>
      <c r="I32">
        <v>10</v>
      </c>
      <c r="J32" t="s">
        <v>21</v>
      </c>
      <c r="K32">
        <v>1055</v>
      </c>
    </row>
    <row r="33" spans="1:11" x14ac:dyDescent="0.25">
      <c r="A33">
        <f t="shared" si="1"/>
        <v>32</v>
      </c>
      <c r="B33" t="s">
        <v>84</v>
      </c>
      <c r="C33" t="s">
        <v>57</v>
      </c>
      <c r="D33" s="1">
        <f>DATE(RIGHT(TRIM(C33),4), MID(TRIM(C33),4,2), LEFT(TRIM(C33),2))</f>
        <v>45117</v>
      </c>
      <c r="E33" t="s">
        <v>10</v>
      </c>
      <c r="F33">
        <v>12</v>
      </c>
      <c r="G33" t="s">
        <v>85</v>
      </c>
      <c r="H33" s="1">
        <f t="shared" si="0"/>
        <v>45420</v>
      </c>
      <c r="I33">
        <v>15</v>
      </c>
      <c r="J33" t="s">
        <v>17</v>
      </c>
      <c r="K33">
        <v>1056</v>
      </c>
    </row>
    <row r="34" spans="1:11" x14ac:dyDescent="0.25">
      <c r="A34">
        <f t="shared" si="1"/>
        <v>33</v>
      </c>
      <c r="B34" t="s">
        <v>86</v>
      </c>
      <c r="C34" t="s">
        <v>51</v>
      </c>
      <c r="D34" s="1">
        <f>DATE(RIGHT(TRIM(C34),4), MID(TRIM(C34),4,2), LEFT(TRIM(C34),2))</f>
        <v>45087</v>
      </c>
      <c r="E34" t="s">
        <v>10</v>
      </c>
      <c r="F34">
        <v>24</v>
      </c>
      <c r="G34" t="s">
        <v>87</v>
      </c>
      <c r="H34" s="1">
        <f t="shared" si="0"/>
        <v>45451</v>
      </c>
      <c r="I34">
        <v>25</v>
      </c>
      <c r="J34" t="s">
        <v>12</v>
      </c>
      <c r="K34">
        <v>1057</v>
      </c>
    </row>
    <row r="35" spans="1:11" x14ac:dyDescent="0.25">
      <c r="A35">
        <f t="shared" si="1"/>
        <v>34</v>
      </c>
      <c r="B35" t="s">
        <v>88</v>
      </c>
      <c r="C35" t="s">
        <v>63</v>
      </c>
      <c r="D35" s="1">
        <f>DATE(RIGHT(TRIM(C35),4), MID(TRIM(C35),4,2), LEFT(TRIM(C35),2))</f>
        <v>45179</v>
      </c>
      <c r="E35" t="s">
        <v>15</v>
      </c>
      <c r="F35">
        <v>24</v>
      </c>
      <c r="G35" t="s">
        <v>89</v>
      </c>
      <c r="H35" s="1">
        <f t="shared" si="0"/>
        <v>45512</v>
      </c>
      <c r="I35">
        <v>20</v>
      </c>
      <c r="J35" t="s">
        <v>21</v>
      </c>
      <c r="K35">
        <v>1058</v>
      </c>
    </row>
    <row r="36" spans="1:11" x14ac:dyDescent="0.25">
      <c r="A36">
        <f t="shared" si="1"/>
        <v>35</v>
      </c>
      <c r="B36" t="s">
        <v>90</v>
      </c>
      <c r="C36" t="s">
        <v>9</v>
      </c>
      <c r="D36" s="1">
        <f>DATE(RIGHT(TRIM(C36),4), MID(TRIM(C36),4,2), LEFT(TRIM(C36),2))</f>
        <v>45209</v>
      </c>
      <c r="E36" t="s">
        <v>10</v>
      </c>
      <c r="F36">
        <v>36</v>
      </c>
      <c r="G36" t="s">
        <v>91</v>
      </c>
      <c r="H36" s="1">
        <f t="shared" si="0"/>
        <v>45543</v>
      </c>
      <c r="I36">
        <v>30</v>
      </c>
      <c r="J36" t="s">
        <v>17</v>
      </c>
      <c r="K36">
        <v>1059</v>
      </c>
    </row>
    <row r="37" spans="1:11" x14ac:dyDescent="0.25">
      <c r="A37">
        <f t="shared" si="1"/>
        <v>36</v>
      </c>
      <c r="B37" t="s">
        <v>92</v>
      </c>
      <c r="C37" t="s">
        <v>19</v>
      </c>
      <c r="D37" s="1">
        <f>DATE(RIGHT(TRIM(C37),4), MID(TRIM(C37),4,2), LEFT(TRIM(C37),2))</f>
        <v>45240</v>
      </c>
      <c r="E37" t="s">
        <v>10</v>
      </c>
      <c r="F37">
        <v>18</v>
      </c>
      <c r="G37" t="s">
        <v>93</v>
      </c>
      <c r="H37" s="1">
        <f t="shared" si="0"/>
        <v>45573</v>
      </c>
      <c r="I37">
        <v>15</v>
      </c>
      <c r="J37" t="s">
        <v>12</v>
      </c>
      <c r="K37">
        <v>1060</v>
      </c>
    </row>
    <row r="38" spans="1:11" x14ac:dyDescent="0.25">
      <c r="A38">
        <f t="shared" si="1"/>
        <v>37</v>
      </c>
      <c r="B38" t="s">
        <v>94</v>
      </c>
      <c r="C38" t="s">
        <v>63</v>
      </c>
      <c r="D38" s="1">
        <f>DATE(RIGHT(TRIM(C38),4), MID(TRIM(C38),4,2), LEFT(TRIM(C38),2))</f>
        <v>45179</v>
      </c>
      <c r="E38" t="s">
        <v>10</v>
      </c>
      <c r="F38">
        <v>24</v>
      </c>
      <c r="G38" t="s">
        <v>95</v>
      </c>
      <c r="H38" s="1">
        <f t="shared" si="0"/>
        <v>45604</v>
      </c>
      <c r="I38">
        <v>15</v>
      </c>
      <c r="J38" t="s">
        <v>21</v>
      </c>
      <c r="K38">
        <v>1061</v>
      </c>
    </row>
    <row r="39" spans="1:11" x14ac:dyDescent="0.25">
      <c r="A39">
        <f t="shared" si="1"/>
        <v>38</v>
      </c>
      <c r="B39" t="s">
        <v>96</v>
      </c>
      <c r="C39" t="s">
        <v>9</v>
      </c>
      <c r="D39" s="1">
        <f>DATE(RIGHT(TRIM(C39),4), MID(TRIM(C39),4,2), LEFT(TRIM(C39),2))</f>
        <v>45209</v>
      </c>
      <c r="E39" t="s">
        <v>15</v>
      </c>
      <c r="F39">
        <v>18</v>
      </c>
      <c r="G39" t="s">
        <v>97</v>
      </c>
      <c r="H39" s="1">
        <f t="shared" si="0"/>
        <v>45634</v>
      </c>
      <c r="I39">
        <v>10</v>
      </c>
      <c r="J39" t="s">
        <v>17</v>
      </c>
      <c r="K39">
        <v>1062</v>
      </c>
    </row>
    <row r="40" spans="1:11" x14ac:dyDescent="0.25">
      <c r="A40">
        <f t="shared" si="1"/>
        <v>39</v>
      </c>
      <c r="B40" t="s">
        <v>98</v>
      </c>
      <c r="C40" t="s">
        <v>19</v>
      </c>
      <c r="D40" s="1">
        <f>DATE(RIGHT(TRIM(C40),4), MID(TRIM(C40),4,2), LEFT(TRIM(C40),2))</f>
        <v>45240</v>
      </c>
      <c r="E40" t="s">
        <v>10</v>
      </c>
      <c r="F40">
        <v>12</v>
      </c>
      <c r="G40" t="s">
        <v>99</v>
      </c>
      <c r="H40" s="1">
        <f t="shared" si="0"/>
        <v>45665</v>
      </c>
      <c r="I40">
        <v>14</v>
      </c>
      <c r="J40" t="s">
        <v>12</v>
      </c>
      <c r="K40">
        <v>1063</v>
      </c>
    </row>
    <row r="41" spans="1:11" x14ac:dyDescent="0.25">
      <c r="A41">
        <f t="shared" si="1"/>
        <v>40</v>
      </c>
      <c r="B41" t="s">
        <v>100</v>
      </c>
      <c r="C41" t="s">
        <v>14</v>
      </c>
      <c r="D41" s="1">
        <f>DATE(RIGHT(TRIM(C41),4), MID(TRIM(C41),4,2), LEFT(TRIM(C41),2))</f>
        <v>45270</v>
      </c>
      <c r="E41" t="s">
        <v>10</v>
      </c>
      <c r="F41">
        <v>18</v>
      </c>
      <c r="G41" t="s">
        <v>101</v>
      </c>
      <c r="H41" s="1">
        <f t="shared" si="0"/>
        <v>45696</v>
      </c>
      <c r="I41">
        <v>20</v>
      </c>
      <c r="J41" t="s">
        <v>21</v>
      </c>
      <c r="K41">
        <v>1064</v>
      </c>
    </row>
    <row r="42" spans="1:11" x14ac:dyDescent="0.25">
      <c r="A42">
        <f t="shared" si="1"/>
        <v>41</v>
      </c>
      <c r="B42" t="s">
        <v>102</v>
      </c>
      <c r="C42" t="s">
        <v>51</v>
      </c>
      <c r="D42" s="1">
        <f>DATE(RIGHT(TRIM(C42),4), MID(TRIM(C42),4,2), LEFT(TRIM(C42),2))</f>
        <v>45087</v>
      </c>
      <c r="E42" t="s">
        <v>10</v>
      </c>
      <c r="F42">
        <v>24</v>
      </c>
      <c r="G42" t="s">
        <v>87</v>
      </c>
      <c r="H42" s="1">
        <f t="shared" si="0"/>
        <v>45451</v>
      </c>
      <c r="I42">
        <v>30</v>
      </c>
      <c r="J42" t="s">
        <v>17</v>
      </c>
      <c r="K42">
        <v>1065</v>
      </c>
    </row>
    <row r="43" spans="1:11" x14ac:dyDescent="0.25">
      <c r="A43">
        <f t="shared" si="1"/>
        <v>42</v>
      </c>
      <c r="B43" t="s">
        <v>103</v>
      </c>
      <c r="C43" t="s">
        <v>23</v>
      </c>
      <c r="D43" s="1">
        <f>DATE(RIGHT(TRIM(C43),4), MID(TRIM(C43),4,2), LEFT(TRIM(C43),2))</f>
        <v>45332</v>
      </c>
      <c r="E43" t="s">
        <v>15</v>
      </c>
      <c r="F43">
        <v>18</v>
      </c>
      <c r="G43" t="s">
        <v>104</v>
      </c>
      <c r="H43" s="1">
        <f t="shared" si="0"/>
        <v>45755</v>
      </c>
      <c r="I43">
        <v>25</v>
      </c>
      <c r="J43" t="s">
        <v>12</v>
      </c>
      <c r="K43">
        <v>1066</v>
      </c>
    </row>
    <row r="44" spans="1:11" x14ac:dyDescent="0.25">
      <c r="A44">
        <f t="shared" si="1"/>
        <v>43</v>
      </c>
      <c r="B44" t="s">
        <v>105</v>
      </c>
      <c r="C44" t="s">
        <v>74</v>
      </c>
      <c r="D44" s="1">
        <f>DATE(RIGHT(TRIM(C44),4), MID(TRIM(C44),4,2), LEFT(TRIM(C44),2))</f>
        <v>45301</v>
      </c>
      <c r="E44" t="s">
        <v>10</v>
      </c>
      <c r="F44">
        <v>36</v>
      </c>
      <c r="G44" t="s">
        <v>106</v>
      </c>
      <c r="H44" s="1">
        <f t="shared" si="0"/>
        <v>45785</v>
      </c>
      <c r="I44">
        <v>30</v>
      </c>
      <c r="J44" t="s">
        <v>17</v>
      </c>
      <c r="K44">
        <v>1067</v>
      </c>
    </row>
    <row r="45" spans="1:11" x14ac:dyDescent="0.25">
      <c r="A45">
        <f t="shared" si="1"/>
        <v>44</v>
      </c>
      <c r="B45" t="s">
        <v>107</v>
      </c>
      <c r="C45" t="s">
        <v>14</v>
      </c>
      <c r="D45" s="1">
        <f>DATE(RIGHT(TRIM(C45),4), MID(TRIM(C45),4,2), LEFT(TRIM(C45),2))</f>
        <v>45270</v>
      </c>
      <c r="E45" t="s">
        <v>10</v>
      </c>
      <c r="F45">
        <v>24</v>
      </c>
      <c r="G45" t="s">
        <v>108</v>
      </c>
      <c r="H45" s="1">
        <f t="shared" si="0"/>
        <v>45816</v>
      </c>
      <c r="I45">
        <v>15</v>
      </c>
      <c r="J45" t="s">
        <v>21</v>
      </c>
      <c r="K45">
        <v>1068</v>
      </c>
    </row>
    <row r="46" spans="1:11" x14ac:dyDescent="0.25">
      <c r="A46">
        <f t="shared" si="1"/>
        <v>45</v>
      </c>
      <c r="B46" t="s">
        <v>109</v>
      </c>
      <c r="C46" t="s">
        <v>26</v>
      </c>
      <c r="D46" s="1">
        <f>DATE(RIGHT(TRIM(C46),4), MID(TRIM(C46),4,2), LEFT(TRIM(C46),2))</f>
        <v>45361</v>
      </c>
      <c r="E46" t="s">
        <v>10</v>
      </c>
      <c r="F46">
        <v>24</v>
      </c>
      <c r="G46" t="s">
        <v>110</v>
      </c>
      <c r="H46" s="1">
        <f t="shared" si="0"/>
        <v>45846</v>
      </c>
      <c r="I46">
        <v>20</v>
      </c>
      <c r="J46" t="s">
        <v>17</v>
      </c>
      <c r="K46">
        <v>1069</v>
      </c>
    </row>
    <row r="47" spans="1:11" x14ac:dyDescent="0.25">
      <c r="A47">
        <f t="shared" si="1"/>
        <v>46</v>
      </c>
      <c r="B47" t="s">
        <v>111</v>
      </c>
      <c r="C47" t="s">
        <v>74</v>
      </c>
      <c r="D47" s="1">
        <f>DATE(RIGHT(TRIM(C47),4), MID(TRIM(C47),4,2), LEFT(TRIM(C47),2))</f>
        <v>45301</v>
      </c>
      <c r="E47" t="s">
        <v>15</v>
      </c>
      <c r="F47">
        <v>24</v>
      </c>
      <c r="G47" t="s">
        <v>112</v>
      </c>
      <c r="H47" s="1">
        <f t="shared" si="0"/>
        <v>45724</v>
      </c>
      <c r="I47">
        <v>14</v>
      </c>
      <c r="J47" t="s">
        <v>21</v>
      </c>
      <c r="K47">
        <v>1070</v>
      </c>
    </row>
    <row r="48" spans="1:11" x14ac:dyDescent="0.25">
      <c r="A48">
        <f t="shared" si="1"/>
        <v>47</v>
      </c>
      <c r="B48" t="s">
        <v>113</v>
      </c>
      <c r="C48" t="s">
        <v>38</v>
      </c>
      <c r="D48" s="1">
        <f>DATE(RIGHT(TRIM(C48),4), MID(TRIM(C48),4,2), LEFT(TRIM(C48),2))</f>
        <v>45422</v>
      </c>
      <c r="E48" t="s">
        <v>10</v>
      </c>
      <c r="F48">
        <v>12</v>
      </c>
      <c r="G48" t="s">
        <v>114</v>
      </c>
      <c r="H48" s="1">
        <f t="shared" si="0"/>
        <v>44935</v>
      </c>
      <c r="I48">
        <v>10</v>
      </c>
      <c r="J48" t="s">
        <v>12</v>
      </c>
      <c r="K48">
        <v>1071</v>
      </c>
    </row>
    <row r="49" spans="1:11" x14ac:dyDescent="0.25">
      <c r="A49">
        <f t="shared" si="1"/>
        <v>48</v>
      </c>
      <c r="B49" t="s">
        <v>115</v>
      </c>
      <c r="C49" t="s">
        <v>45</v>
      </c>
      <c r="D49" s="1">
        <f>DATE(RIGHT(TRIM(C49),4), MID(TRIM(C49),4,2), LEFT(TRIM(C49),2))</f>
        <v>45453</v>
      </c>
      <c r="E49" t="s">
        <v>10</v>
      </c>
      <c r="F49">
        <v>12</v>
      </c>
      <c r="G49" t="s">
        <v>116</v>
      </c>
      <c r="H49" s="1">
        <f t="shared" si="0"/>
        <v>44966</v>
      </c>
      <c r="I49">
        <v>15</v>
      </c>
      <c r="J49" t="s">
        <v>17</v>
      </c>
      <c r="K49">
        <v>1072</v>
      </c>
    </row>
    <row r="50" spans="1:11" x14ac:dyDescent="0.25">
      <c r="A50">
        <f t="shared" si="1"/>
        <v>49</v>
      </c>
      <c r="B50" t="s">
        <v>117</v>
      </c>
      <c r="C50" t="s">
        <v>19</v>
      </c>
      <c r="D50" s="1">
        <f>DATE(RIGHT(TRIM(C50),4), MID(TRIM(C50),4,2), LEFT(TRIM(C50),2))</f>
        <v>45240</v>
      </c>
      <c r="E50" t="s">
        <v>10</v>
      </c>
      <c r="F50">
        <v>18</v>
      </c>
      <c r="G50" t="s">
        <v>93</v>
      </c>
      <c r="H50" s="1">
        <f t="shared" si="0"/>
        <v>45573</v>
      </c>
      <c r="I50">
        <v>10</v>
      </c>
      <c r="J50" t="s">
        <v>21</v>
      </c>
      <c r="K50">
        <v>1073</v>
      </c>
    </row>
    <row r="51" spans="1:11" x14ac:dyDescent="0.25">
      <c r="A51">
        <f t="shared" si="1"/>
        <v>50</v>
      </c>
      <c r="B51" t="s">
        <v>118</v>
      </c>
      <c r="C51" t="s">
        <v>42</v>
      </c>
      <c r="D51" s="1">
        <f>DATE(RIGHT(TRIM(C51),4), MID(TRIM(C51),4,2), LEFT(TRIM(C51),2))</f>
        <v>45483</v>
      </c>
      <c r="E51" t="s">
        <v>15</v>
      </c>
      <c r="F51">
        <v>12</v>
      </c>
      <c r="G51" t="s">
        <v>119</v>
      </c>
      <c r="H51" s="1">
        <f t="shared" si="0"/>
        <v>44994</v>
      </c>
      <c r="I51">
        <v>14</v>
      </c>
      <c r="J51" t="s">
        <v>12</v>
      </c>
      <c r="K51">
        <v>1074</v>
      </c>
    </row>
    <row r="52" spans="1:11" x14ac:dyDescent="0.25">
      <c r="A52">
        <f t="shared" si="1"/>
        <v>51</v>
      </c>
      <c r="B52" t="s">
        <v>120</v>
      </c>
      <c r="C52" t="s">
        <v>74</v>
      </c>
      <c r="D52" s="1">
        <f>DATE(RIGHT(TRIM(C52),4), MID(TRIM(C52),4,2), LEFT(TRIM(C52),2))</f>
        <v>45301</v>
      </c>
      <c r="E52" t="s">
        <v>10</v>
      </c>
      <c r="F52">
        <v>12</v>
      </c>
      <c r="G52" t="s">
        <v>106</v>
      </c>
      <c r="H52" s="1">
        <f t="shared" si="0"/>
        <v>45785</v>
      </c>
      <c r="I52">
        <v>30</v>
      </c>
      <c r="J52" t="s">
        <v>21</v>
      </c>
      <c r="K52">
        <v>1075</v>
      </c>
    </row>
    <row r="53" spans="1:11" x14ac:dyDescent="0.25">
      <c r="A53">
        <f t="shared" si="1"/>
        <v>52</v>
      </c>
      <c r="B53" t="s">
        <v>121</v>
      </c>
      <c r="C53" t="s">
        <v>50</v>
      </c>
      <c r="D53" s="1">
        <f>DATE(RIGHT(TRIM(C53),4), MID(TRIM(C53),4,2), LEFT(TRIM(C53),2))</f>
        <v>45514</v>
      </c>
      <c r="E53" t="s">
        <v>10</v>
      </c>
      <c r="F53">
        <v>24</v>
      </c>
      <c r="G53" t="s">
        <v>122</v>
      </c>
      <c r="H53" s="1">
        <f t="shared" si="0"/>
        <v>45025</v>
      </c>
      <c r="I53">
        <v>25</v>
      </c>
      <c r="J53" t="s">
        <v>17</v>
      </c>
      <c r="K53">
        <v>1076</v>
      </c>
    </row>
    <row r="54" spans="1:11" x14ac:dyDescent="0.25">
      <c r="A54">
        <f t="shared" si="1"/>
        <v>53</v>
      </c>
      <c r="B54" t="s">
        <v>123</v>
      </c>
      <c r="C54" t="s">
        <v>23</v>
      </c>
      <c r="D54" s="1">
        <f>DATE(RIGHT(TRIM(C54),4), MID(TRIM(C54),4,2), LEFT(TRIM(C54),2))</f>
        <v>45332</v>
      </c>
      <c r="E54" t="s">
        <v>10</v>
      </c>
      <c r="F54">
        <v>18</v>
      </c>
      <c r="G54" t="s">
        <v>124</v>
      </c>
      <c r="H54" s="1">
        <f t="shared" si="0"/>
        <v>45055</v>
      </c>
      <c r="I54">
        <v>20</v>
      </c>
      <c r="J54" t="s">
        <v>12</v>
      </c>
      <c r="K54">
        <v>1077</v>
      </c>
    </row>
    <row r="55" spans="1:11" x14ac:dyDescent="0.25">
      <c r="A55">
        <f t="shared" si="1"/>
        <v>54</v>
      </c>
      <c r="B55" t="s">
        <v>125</v>
      </c>
      <c r="C55" t="s">
        <v>126</v>
      </c>
      <c r="D55" s="1">
        <f>DATE(RIGHT(TRIM(C55),4), MID(TRIM(C55),4,2), LEFT(TRIM(C55),2))</f>
        <v>45545</v>
      </c>
      <c r="E55" t="s">
        <v>15</v>
      </c>
      <c r="F55">
        <v>12</v>
      </c>
      <c r="G55" t="s">
        <v>127</v>
      </c>
      <c r="H55" s="1">
        <f t="shared" si="0"/>
        <v>45086</v>
      </c>
      <c r="I55">
        <v>15</v>
      </c>
      <c r="J55" t="s">
        <v>17</v>
      </c>
      <c r="K55">
        <v>1078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E9205C0F-1D5E-41F4-9A6C-182E4F8B7E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250AB0-4393-439F-9E8B-ACB8EE2CE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3CFEBF-F7A2-4160-880F-23CA320E37B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Anatoli Ignatov</cp:lastModifiedBy>
  <dcterms:created xsi:type="dcterms:W3CDTF">2023-10-16T06:50:01Z</dcterms:created>
  <dcterms:modified xsi:type="dcterms:W3CDTF">2026-04-02T08:04:56Z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